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a919a0b67208fd/Área de Trabalho/01 - DOCUMENTOS/claudia/claudia_tese v2/exemplos/"/>
    </mc:Choice>
  </mc:AlternateContent>
  <xr:revisionPtr revIDLastSave="0" documentId="14_{771B103A-41ED-4E04-9BFE-E3D845F63D0F}" xr6:coauthVersionLast="47" xr6:coauthVersionMax="47" xr10:uidLastSave="{00000000-0000-0000-0000-000000000000}"/>
  <bookViews>
    <workbookView xWindow="28692" yWindow="-108" windowWidth="29016" windowHeight="15696" activeTab="3" xr2:uid="{5D3F4EB9-19EC-4578-A5DC-E027CF1C73A5}"/>
  </bookViews>
  <sheets>
    <sheet name="MR 4 - VERÃO" sheetId="1" r:id="rId1"/>
    <sheet name="MR 4 - OUTONO" sheetId="2" r:id="rId2"/>
    <sheet name="MR 4 - INVERNO" sheetId="3" r:id="rId3"/>
    <sheet name="MR 4 - PRIMAVER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4" l="1"/>
  <c r="I36" i="3"/>
  <c r="I36" i="2"/>
  <c r="I36" i="1"/>
</calcChain>
</file>

<file path=xl/sharedStrings.xml><?xml version="1.0" encoding="utf-8"?>
<sst xmlns="http://schemas.openxmlformats.org/spreadsheetml/2006/main" count="200" uniqueCount="51">
  <si>
    <t>Descrição da Carga</t>
  </si>
  <si>
    <t xml:space="preserve">Potência (kW) </t>
  </si>
  <si>
    <t xml:space="preserve">Minuto liga </t>
  </si>
  <si>
    <t xml:space="preserve">Minuto desliga </t>
  </si>
  <si>
    <t>Prioridade</t>
  </si>
  <si>
    <t>P1 - Ordenha Manhã</t>
  </si>
  <si>
    <t>P1 - Ordenha Tarde</t>
  </si>
  <si>
    <t>P1 - Resfriador Pós Ordenha</t>
  </si>
  <si>
    <t>P1 - Resfriador Manter</t>
  </si>
  <si>
    <t>P1 - Resfriados Pós Ordenha</t>
  </si>
  <si>
    <t>P1 - Resfriados Manter</t>
  </si>
  <si>
    <t>P2 - Ordenha Manhã</t>
  </si>
  <si>
    <t>P2 - Ordenha Tarde</t>
  </si>
  <si>
    <t>P2 - Resfriador Pós Ordenha</t>
  </si>
  <si>
    <t>P2 - Resfriador Manter</t>
  </si>
  <si>
    <t>P2 - Resfriados Pós Ordenha</t>
  </si>
  <si>
    <t>P2 - Resfriados Manter</t>
  </si>
  <si>
    <t>P1 - Residencial Pico</t>
  </si>
  <si>
    <t>P2 - Residencial Pico</t>
  </si>
  <si>
    <t>P3 - Residencial Pico</t>
  </si>
  <si>
    <t>P4 - Residencial Pico</t>
  </si>
  <si>
    <t>P1 - Residencial Base</t>
  </si>
  <si>
    <t>P2 - Residencial Base</t>
  </si>
  <si>
    <t>P3 - Residencial Base</t>
  </si>
  <si>
    <t>P4 - Residencial Base</t>
  </si>
  <si>
    <t>Fonte</t>
  </si>
  <si>
    <t>Potência (kW)</t>
  </si>
  <si>
    <t>Custo (R$/kWh)</t>
  </si>
  <si>
    <t>Autonomia(h)</t>
  </si>
  <si>
    <t>Tanque L</t>
  </si>
  <si>
    <t>Cap de descarga (kWh)</t>
  </si>
  <si>
    <t>DOD</t>
  </si>
  <si>
    <t>PV</t>
  </si>
  <si>
    <t>Diesel</t>
  </si>
  <si>
    <t>Bateria</t>
  </si>
  <si>
    <t>20-80%</t>
  </si>
  <si>
    <t>Concessionária</t>
  </si>
  <si>
    <t>MR 4 - VERÃO</t>
  </si>
  <si>
    <t>P3 - Irrigação</t>
  </si>
  <si>
    <t>P4 - Irrigação</t>
  </si>
  <si>
    <t>P5 - Irrigação</t>
  </si>
  <si>
    <t>P5 - Residencial Pico</t>
  </si>
  <si>
    <t>P5 - Residencial Base</t>
  </si>
  <si>
    <t>MR 4 - OUTONO</t>
  </si>
  <si>
    <t>MR 4 - INVERNO</t>
  </si>
  <si>
    <t>MR 4 - PRIMAVERA</t>
  </si>
  <si>
    <t>60kW inversor</t>
  </si>
  <si>
    <t>30kVA</t>
  </si>
  <si>
    <t>Consumo (L/h) 100%</t>
  </si>
  <si>
    <t>Consumo (L/h) 75%</t>
  </si>
  <si>
    <t>Consumo (L/h)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</si>
</sst>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1303-E30E-496C-B63C-D54FA3FCC7C5}">
  <dimension ref="A1:K44"/>
  <sheetViews>
    <sheetView topLeftCell="A22" workbookViewId="0">
      <selection activeCell="I36" sqref="I36"/>
    </sheetView>
  </sheetViews>
  <sheetFormatPr defaultRowHeight="14.4" x14ac:dyDescent="0.3"/>
  <cols>
    <col min="1" max="1" width="26.33203125" bestFit="1" customWidth="1"/>
    <col min="2" max="2" width="14.109375" bestFit="1" customWidth="1"/>
    <col min="3" max="3" width="15.109375" bestFit="1" customWidth="1"/>
    <col min="4" max="4" width="14.88671875" bestFit="1" customWidth="1"/>
    <col min="5" max="5" width="10.33203125" bestFit="1" customWidth="1"/>
    <col min="6" max="6" width="22.44140625" bestFit="1" customWidth="1"/>
    <col min="7" max="8" width="21.44140625" bestFit="1" customWidth="1"/>
    <col min="9" max="9" width="21.5546875" bestFit="1" customWidth="1"/>
    <col min="10" max="10" width="7.33203125" bestFit="1" customWidth="1"/>
    <col min="11" max="11" width="13.6640625" bestFit="1" customWidth="1"/>
  </cols>
  <sheetData>
    <row r="1" spans="1:10" x14ac:dyDescent="0.3">
      <c r="A1" s="1" t="s">
        <v>37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/>
      <c r="I2" s="1"/>
      <c r="J2" s="1"/>
    </row>
    <row r="3" spans="1:10" x14ac:dyDescent="0.3">
      <c r="A3" s="2" t="s">
        <v>5</v>
      </c>
      <c r="B3" s="2">
        <v>12.5</v>
      </c>
      <c r="C3" s="2">
        <v>300</v>
      </c>
      <c r="D3" s="2">
        <v>420</v>
      </c>
      <c r="E3" s="2">
        <v>1</v>
      </c>
      <c r="I3" s="2"/>
      <c r="J3" s="2"/>
    </row>
    <row r="4" spans="1:10" x14ac:dyDescent="0.3">
      <c r="A4" s="2" t="s">
        <v>6</v>
      </c>
      <c r="B4" s="2">
        <v>12.5</v>
      </c>
      <c r="C4" s="2">
        <v>960</v>
      </c>
      <c r="D4" s="2">
        <v>1080</v>
      </c>
      <c r="E4" s="2">
        <v>1</v>
      </c>
      <c r="I4" s="2"/>
      <c r="J4" s="2"/>
    </row>
    <row r="5" spans="1:10" x14ac:dyDescent="0.3">
      <c r="A5" s="2" t="s">
        <v>7</v>
      </c>
      <c r="B5" s="2">
        <v>5</v>
      </c>
      <c r="C5" s="2">
        <v>421</v>
      </c>
      <c r="D5" s="2">
        <v>599</v>
      </c>
      <c r="E5" s="2">
        <v>1</v>
      </c>
      <c r="I5" s="2"/>
      <c r="J5" s="2"/>
    </row>
    <row r="6" spans="1:10" x14ac:dyDescent="0.3">
      <c r="A6" s="2" t="s">
        <v>8</v>
      </c>
      <c r="B6" s="2">
        <v>2.5</v>
      </c>
      <c r="C6" s="2">
        <v>600</v>
      </c>
      <c r="D6" s="2">
        <v>959</v>
      </c>
      <c r="E6" s="2">
        <v>1</v>
      </c>
      <c r="I6" s="2"/>
      <c r="J6" s="2"/>
    </row>
    <row r="7" spans="1:10" x14ac:dyDescent="0.3">
      <c r="A7" s="2" t="s">
        <v>9</v>
      </c>
      <c r="B7" s="2">
        <v>5</v>
      </c>
      <c r="C7" s="2">
        <v>1081</v>
      </c>
      <c r="D7" s="2">
        <v>1260</v>
      </c>
      <c r="E7" s="2">
        <v>1</v>
      </c>
      <c r="I7" s="2"/>
      <c r="J7" s="2"/>
    </row>
    <row r="8" spans="1:10" x14ac:dyDescent="0.3">
      <c r="A8" s="2" t="s">
        <v>10</v>
      </c>
      <c r="B8" s="2">
        <v>2.5</v>
      </c>
      <c r="C8" s="2">
        <v>1261</v>
      </c>
      <c r="D8" s="2">
        <v>1440</v>
      </c>
      <c r="E8" s="2">
        <v>1</v>
      </c>
      <c r="I8" s="2"/>
      <c r="J8" s="2"/>
    </row>
    <row r="9" spans="1:10" x14ac:dyDescent="0.3">
      <c r="A9" s="2" t="s">
        <v>8</v>
      </c>
      <c r="B9" s="2">
        <v>2.5</v>
      </c>
      <c r="C9" s="2">
        <v>0</v>
      </c>
      <c r="D9" s="2">
        <v>299</v>
      </c>
      <c r="E9" s="2">
        <v>1</v>
      </c>
    </row>
    <row r="10" spans="1:10" x14ac:dyDescent="0.3">
      <c r="A10" s="2" t="s">
        <v>11</v>
      </c>
      <c r="B10" s="2">
        <v>3.75</v>
      </c>
      <c r="C10" s="2">
        <v>300</v>
      </c>
      <c r="D10" s="2">
        <v>420</v>
      </c>
      <c r="E10" s="2">
        <v>1</v>
      </c>
    </row>
    <row r="11" spans="1:10" x14ac:dyDescent="0.3">
      <c r="A11" s="2" t="s">
        <v>12</v>
      </c>
      <c r="B11" s="2">
        <v>3.75</v>
      </c>
      <c r="C11" s="2">
        <v>960</v>
      </c>
      <c r="D11" s="2">
        <v>1080</v>
      </c>
      <c r="E11" s="2">
        <v>1</v>
      </c>
    </row>
    <row r="12" spans="1:10" x14ac:dyDescent="0.3">
      <c r="A12" s="2" t="s">
        <v>13</v>
      </c>
      <c r="B12" s="2">
        <v>1.5</v>
      </c>
      <c r="C12" s="2">
        <v>421</v>
      </c>
      <c r="D12" s="2">
        <v>599</v>
      </c>
      <c r="E12" s="2">
        <v>1</v>
      </c>
    </row>
    <row r="13" spans="1:10" x14ac:dyDescent="0.3">
      <c r="A13" s="2" t="s">
        <v>14</v>
      </c>
      <c r="B13" s="2">
        <v>0.75</v>
      </c>
      <c r="C13" s="2">
        <v>600</v>
      </c>
      <c r="D13" s="2">
        <v>959</v>
      </c>
      <c r="E13" s="2">
        <v>1</v>
      </c>
    </row>
    <row r="14" spans="1:10" x14ac:dyDescent="0.3">
      <c r="A14" s="2" t="s">
        <v>15</v>
      </c>
      <c r="B14" s="2">
        <v>1.5</v>
      </c>
      <c r="C14" s="2">
        <v>1081</v>
      </c>
      <c r="D14" s="2">
        <v>1260</v>
      </c>
      <c r="E14" s="2">
        <v>1</v>
      </c>
    </row>
    <row r="15" spans="1:10" x14ac:dyDescent="0.3">
      <c r="A15" s="2" t="s">
        <v>16</v>
      </c>
      <c r="B15" s="2">
        <v>0.75</v>
      </c>
      <c r="C15" s="2">
        <v>1261</v>
      </c>
      <c r="D15" s="2">
        <v>1440</v>
      </c>
      <c r="E15" s="2">
        <v>1</v>
      </c>
    </row>
    <row r="16" spans="1:10" x14ac:dyDescent="0.3">
      <c r="A16" s="2" t="s">
        <v>14</v>
      </c>
      <c r="B16" s="2">
        <v>0.75</v>
      </c>
      <c r="C16" s="2">
        <v>0</v>
      </c>
      <c r="D16" s="2">
        <v>299</v>
      </c>
      <c r="E16" s="2">
        <v>1</v>
      </c>
    </row>
    <row r="17" spans="1:5" x14ac:dyDescent="0.3">
      <c r="A17" s="2" t="s">
        <v>38</v>
      </c>
      <c r="B17" s="2">
        <v>88</v>
      </c>
      <c r="C17" s="2">
        <v>0</v>
      </c>
      <c r="D17" s="2">
        <v>480</v>
      </c>
      <c r="E17" s="2">
        <v>2</v>
      </c>
    </row>
    <row r="18" spans="1:5" x14ac:dyDescent="0.3">
      <c r="A18" s="2" t="s">
        <v>39</v>
      </c>
      <c r="B18" s="2">
        <v>66.599999999999994</v>
      </c>
      <c r="C18" s="2">
        <v>0</v>
      </c>
      <c r="D18" s="2">
        <v>480</v>
      </c>
      <c r="E18" s="2">
        <v>2</v>
      </c>
    </row>
    <row r="19" spans="1:5" x14ac:dyDescent="0.3">
      <c r="A19" s="2" t="s">
        <v>40</v>
      </c>
      <c r="B19" s="2">
        <v>88</v>
      </c>
      <c r="C19" s="2">
        <v>0</v>
      </c>
      <c r="D19" s="2">
        <v>480</v>
      </c>
      <c r="E19" s="2">
        <v>2</v>
      </c>
    </row>
    <row r="20" spans="1:5" x14ac:dyDescent="0.3">
      <c r="A20" s="2" t="s">
        <v>17</v>
      </c>
      <c r="B20" s="2">
        <v>4</v>
      </c>
      <c r="C20" s="2">
        <v>1020</v>
      </c>
      <c r="D20" s="2">
        <v>1380</v>
      </c>
      <c r="E20" s="2">
        <v>1</v>
      </c>
    </row>
    <row r="21" spans="1:5" x14ac:dyDescent="0.3">
      <c r="A21" s="2" t="s">
        <v>18</v>
      </c>
      <c r="B21" s="2">
        <v>2</v>
      </c>
      <c r="C21" s="2">
        <v>1020</v>
      </c>
      <c r="D21" s="2">
        <v>1380</v>
      </c>
      <c r="E21" s="2">
        <v>1</v>
      </c>
    </row>
    <row r="22" spans="1:5" x14ac:dyDescent="0.3">
      <c r="A22" s="2" t="s">
        <v>19</v>
      </c>
      <c r="B22" s="2">
        <v>8</v>
      </c>
      <c r="C22" s="2">
        <v>1020</v>
      </c>
      <c r="D22" s="2">
        <v>1380</v>
      </c>
      <c r="E22" s="2">
        <v>1</v>
      </c>
    </row>
    <row r="23" spans="1:5" x14ac:dyDescent="0.3">
      <c r="A23" s="2" t="s">
        <v>20</v>
      </c>
      <c r="B23" s="2">
        <v>6</v>
      </c>
      <c r="C23" s="2">
        <v>1020</v>
      </c>
      <c r="D23" s="2">
        <v>1380</v>
      </c>
      <c r="E23" s="2">
        <v>1</v>
      </c>
    </row>
    <row r="24" spans="1:5" x14ac:dyDescent="0.3">
      <c r="A24" s="2" t="s">
        <v>41</v>
      </c>
      <c r="B24" s="2">
        <v>8</v>
      </c>
      <c r="C24" s="2">
        <v>1020</v>
      </c>
      <c r="D24" s="2">
        <v>1380</v>
      </c>
      <c r="E24" s="2">
        <v>1</v>
      </c>
    </row>
    <row r="25" spans="1:5" x14ac:dyDescent="0.3">
      <c r="A25" s="2" t="s">
        <v>21</v>
      </c>
      <c r="B25" s="2">
        <v>0.5</v>
      </c>
      <c r="C25" s="2">
        <v>0</v>
      </c>
      <c r="D25" s="2">
        <v>1440</v>
      </c>
      <c r="E25" s="2">
        <v>1</v>
      </c>
    </row>
    <row r="26" spans="1:5" x14ac:dyDescent="0.3">
      <c r="A26" s="2" t="s">
        <v>22</v>
      </c>
      <c r="B26" s="2">
        <v>0.4</v>
      </c>
      <c r="C26" s="2">
        <v>0</v>
      </c>
      <c r="D26" s="2">
        <v>1440</v>
      </c>
      <c r="E26" s="2">
        <v>1</v>
      </c>
    </row>
    <row r="27" spans="1:5" x14ac:dyDescent="0.3">
      <c r="A27" s="2" t="s">
        <v>23</v>
      </c>
      <c r="B27" s="2">
        <v>0.8</v>
      </c>
      <c r="C27" s="2">
        <v>0</v>
      </c>
      <c r="D27" s="2">
        <v>1440</v>
      </c>
      <c r="E27" s="2">
        <v>1</v>
      </c>
    </row>
    <row r="28" spans="1:5" x14ac:dyDescent="0.3">
      <c r="A28" s="2" t="s">
        <v>24</v>
      </c>
      <c r="B28" s="2">
        <v>0.6</v>
      </c>
      <c r="C28" s="2">
        <v>0</v>
      </c>
      <c r="D28" s="2">
        <v>1440</v>
      </c>
      <c r="E28" s="2">
        <v>1</v>
      </c>
    </row>
    <row r="29" spans="1:5" x14ac:dyDescent="0.3">
      <c r="A29" s="2" t="s">
        <v>42</v>
      </c>
      <c r="B29" s="2">
        <v>0.8</v>
      </c>
      <c r="C29" s="2">
        <v>0</v>
      </c>
      <c r="D29" s="2">
        <v>1440</v>
      </c>
      <c r="E29" s="2">
        <v>1</v>
      </c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11" x14ac:dyDescent="0.3">
      <c r="A33" s="1" t="s">
        <v>25</v>
      </c>
      <c r="B33" s="1" t="s">
        <v>26</v>
      </c>
      <c r="C33" s="1" t="s">
        <v>27</v>
      </c>
      <c r="D33" s="1" t="s">
        <v>28</v>
      </c>
      <c r="E33" s="1" t="s">
        <v>29</v>
      </c>
      <c r="F33" s="1" t="s">
        <v>48</v>
      </c>
      <c r="G33" s="1" t="s">
        <v>49</v>
      </c>
      <c r="H33" s="1" t="s">
        <v>50</v>
      </c>
      <c r="I33" s="1" t="s">
        <v>30</v>
      </c>
      <c r="J33" s="1" t="s">
        <v>31</v>
      </c>
    </row>
    <row r="34" spans="1:11" x14ac:dyDescent="0.3">
      <c r="A34" s="2" t="s">
        <v>32</v>
      </c>
      <c r="B34" s="2">
        <v>300</v>
      </c>
      <c r="C34" s="2">
        <v>0.18</v>
      </c>
      <c r="D34" s="2"/>
      <c r="E34" s="2"/>
      <c r="F34" s="2"/>
      <c r="G34" s="2"/>
      <c r="H34" s="2"/>
      <c r="I34" s="2"/>
      <c r="J34" s="2"/>
    </row>
    <row r="35" spans="1:11" x14ac:dyDescent="0.3">
      <c r="A35" s="2" t="s">
        <v>33</v>
      </c>
      <c r="B35" s="2">
        <v>21</v>
      </c>
      <c r="C35" s="2">
        <v>1.75</v>
      </c>
      <c r="D35" s="2">
        <v>24</v>
      </c>
      <c r="E35" s="2">
        <v>120</v>
      </c>
      <c r="F35" s="2">
        <v>6.5</v>
      </c>
      <c r="G35" s="2">
        <v>5.5</v>
      </c>
      <c r="H35" s="2">
        <v>3.5</v>
      </c>
      <c r="I35" s="2"/>
      <c r="J35" s="2"/>
      <c r="K35" t="s">
        <v>47</v>
      </c>
    </row>
    <row r="36" spans="1:11" x14ac:dyDescent="0.3">
      <c r="A36" s="2" t="s">
        <v>34</v>
      </c>
      <c r="B36" s="2">
        <v>52</v>
      </c>
      <c r="C36" s="2">
        <v>0.65</v>
      </c>
      <c r="D36" s="2">
        <v>4</v>
      </c>
      <c r="E36" s="2"/>
      <c r="F36" s="2"/>
      <c r="G36" s="2"/>
      <c r="H36" s="2"/>
      <c r="I36" s="2">
        <f>60*275</f>
        <v>16500</v>
      </c>
      <c r="J36" s="2" t="s">
        <v>35</v>
      </c>
      <c r="K36" t="s">
        <v>46</v>
      </c>
    </row>
    <row r="37" spans="1:11" x14ac:dyDescent="0.3">
      <c r="A37" s="2" t="s">
        <v>36</v>
      </c>
      <c r="B37" s="2"/>
      <c r="C37" s="2">
        <v>0.87</v>
      </c>
    </row>
    <row r="38" spans="1:11" x14ac:dyDescent="0.3">
      <c r="A38" s="2"/>
      <c r="B38" s="2"/>
      <c r="C38" s="2"/>
      <c r="D38" s="2"/>
      <c r="E38" s="2"/>
    </row>
    <row r="39" spans="1:11" x14ac:dyDescent="0.3">
      <c r="C39" s="2"/>
      <c r="D39" s="2"/>
      <c r="E39" s="2"/>
    </row>
    <row r="40" spans="1:1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3521-0CAD-4E59-BB72-8BDC0C2FEA25}">
  <dimension ref="A1:K37"/>
  <sheetViews>
    <sheetView topLeftCell="A28" workbookViewId="0">
      <selection activeCell="I36" sqref="I36"/>
    </sheetView>
  </sheetViews>
  <sheetFormatPr defaultRowHeight="14.4" x14ac:dyDescent="0.3"/>
  <cols>
    <col min="1" max="1" width="26.33203125" bestFit="1" customWidth="1"/>
    <col min="2" max="2" width="14.109375" bestFit="1" customWidth="1"/>
    <col min="3" max="3" width="15.109375" bestFit="1" customWidth="1"/>
    <col min="4" max="4" width="14.88671875" bestFit="1" customWidth="1"/>
    <col min="5" max="5" width="10.33203125" bestFit="1" customWidth="1"/>
    <col min="6" max="6" width="22.44140625" bestFit="1" customWidth="1"/>
    <col min="7" max="8" width="21.44140625" bestFit="1" customWidth="1"/>
    <col min="9" max="9" width="21.5546875" bestFit="1" customWidth="1"/>
  </cols>
  <sheetData>
    <row r="1" spans="1:10" x14ac:dyDescent="0.3">
      <c r="A1" s="1" t="s">
        <v>43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/>
      <c r="I2" s="1"/>
      <c r="J2" s="1"/>
    </row>
    <row r="3" spans="1:10" x14ac:dyDescent="0.3">
      <c r="A3" s="2" t="s">
        <v>5</v>
      </c>
      <c r="B3" s="2">
        <v>12.5</v>
      </c>
      <c r="C3" s="2">
        <v>300</v>
      </c>
      <c r="D3" s="2">
        <v>420</v>
      </c>
      <c r="E3" s="2">
        <v>1</v>
      </c>
      <c r="I3" s="2"/>
      <c r="J3" s="2"/>
    </row>
    <row r="4" spans="1:10" x14ac:dyDescent="0.3">
      <c r="A4" s="2" t="s">
        <v>6</v>
      </c>
      <c r="B4" s="2">
        <v>12.5</v>
      </c>
      <c r="C4" s="2">
        <v>960</v>
      </c>
      <c r="D4" s="2">
        <v>1080</v>
      </c>
      <c r="E4" s="2">
        <v>1</v>
      </c>
      <c r="I4" s="2"/>
      <c r="J4" s="2"/>
    </row>
    <row r="5" spans="1:10" x14ac:dyDescent="0.3">
      <c r="A5" s="2" t="s">
        <v>7</v>
      </c>
      <c r="B5" s="2">
        <v>4.25</v>
      </c>
      <c r="C5" s="2">
        <v>421</v>
      </c>
      <c r="D5" s="2">
        <v>599</v>
      </c>
      <c r="E5" s="2">
        <v>1</v>
      </c>
      <c r="I5" s="2"/>
      <c r="J5" s="2"/>
    </row>
    <row r="6" spans="1:10" x14ac:dyDescent="0.3">
      <c r="A6" s="2" t="s">
        <v>8</v>
      </c>
      <c r="B6" s="2">
        <v>2.125</v>
      </c>
      <c r="C6" s="2">
        <v>600</v>
      </c>
      <c r="D6" s="2">
        <v>959</v>
      </c>
      <c r="E6" s="2">
        <v>1</v>
      </c>
      <c r="I6" s="2"/>
      <c r="J6" s="2"/>
    </row>
    <row r="7" spans="1:10" x14ac:dyDescent="0.3">
      <c r="A7" s="2" t="s">
        <v>9</v>
      </c>
      <c r="B7" s="2">
        <v>4.25</v>
      </c>
      <c r="C7" s="2">
        <v>1081</v>
      </c>
      <c r="D7" s="2">
        <v>1260</v>
      </c>
      <c r="E7" s="2">
        <v>1</v>
      </c>
      <c r="I7" s="2"/>
      <c r="J7" s="2"/>
    </row>
    <row r="8" spans="1:10" x14ac:dyDescent="0.3">
      <c r="A8" s="2" t="s">
        <v>10</v>
      </c>
      <c r="B8" s="2">
        <v>2.125</v>
      </c>
      <c r="C8" s="2">
        <v>1261</v>
      </c>
      <c r="D8" s="2">
        <v>1440</v>
      </c>
      <c r="E8" s="2">
        <v>1</v>
      </c>
      <c r="I8" s="2"/>
      <c r="J8" s="2"/>
    </row>
    <row r="9" spans="1:10" x14ac:dyDescent="0.3">
      <c r="A9" s="2" t="s">
        <v>8</v>
      </c>
      <c r="B9" s="2">
        <v>2.125</v>
      </c>
      <c r="C9" s="2">
        <v>0</v>
      </c>
      <c r="D9" s="2">
        <v>299</v>
      </c>
      <c r="E9" s="2">
        <v>1</v>
      </c>
    </row>
    <row r="10" spans="1:10" x14ac:dyDescent="0.3">
      <c r="A10" s="2" t="s">
        <v>11</v>
      </c>
      <c r="B10" s="2">
        <v>3.75</v>
      </c>
      <c r="C10" s="2">
        <v>300</v>
      </c>
      <c r="D10" s="2">
        <v>420</v>
      </c>
      <c r="E10" s="2">
        <v>1</v>
      </c>
    </row>
    <row r="11" spans="1:10" x14ac:dyDescent="0.3">
      <c r="A11" s="2" t="s">
        <v>12</v>
      </c>
      <c r="B11" s="2">
        <v>3.75</v>
      </c>
      <c r="C11" s="2">
        <v>960</v>
      </c>
      <c r="D11" s="2">
        <v>1080</v>
      </c>
      <c r="E11" s="2">
        <v>1</v>
      </c>
    </row>
    <row r="12" spans="1:10" x14ac:dyDescent="0.3">
      <c r="A12" s="2" t="s">
        <v>13</v>
      </c>
      <c r="B12" s="2">
        <v>1.2749999999999999</v>
      </c>
      <c r="C12" s="2">
        <v>421</v>
      </c>
      <c r="D12" s="2">
        <v>599</v>
      </c>
      <c r="E12" s="2">
        <v>1</v>
      </c>
    </row>
    <row r="13" spans="1:10" x14ac:dyDescent="0.3">
      <c r="A13" s="2" t="s">
        <v>14</v>
      </c>
      <c r="B13" s="2">
        <v>0.63749999999999996</v>
      </c>
      <c r="C13" s="2">
        <v>600</v>
      </c>
      <c r="D13" s="2">
        <v>959</v>
      </c>
      <c r="E13" s="2">
        <v>1</v>
      </c>
    </row>
    <row r="14" spans="1:10" x14ac:dyDescent="0.3">
      <c r="A14" s="2" t="s">
        <v>15</v>
      </c>
      <c r="B14" s="2">
        <v>1.2749999999999999</v>
      </c>
      <c r="C14" s="2">
        <v>1081</v>
      </c>
      <c r="D14" s="2">
        <v>1260</v>
      </c>
      <c r="E14" s="2">
        <v>1</v>
      </c>
    </row>
    <row r="15" spans="1:10" x14ac:dyDescent="0.3">
      <c r="A15" s="2" t="s">
        <v>16</v>
      </c>
      <c r="B15" s="2">
        <v>0.63749999999999996</v>
      </c>
      <c r="C15" s="2">
        <v>1261</v>
      </c>
      <c r="D15" s="2">
        <v>1440</v>
      </c>
      <c r="E15" s="2">
        <v>1</v>
      </c>
    </row>
    <row r="16" spans="1:10" x14ac:dyDescent="0.3">
      <c r="A16" s="2" t="s">
        <v>14</v>
      </c>
      <c r="B16" s="2">
        <v>0.63749999999999996</v>
      </c>
      <c r="C16" s="2">
        <v>0</v>
      </c>
      <c r="D16" s="2">
        <v>299</v>
      </c>
      <c r="E16" s="2">
        <v>1</v>
      </c>
    </row>
    <row r="17" spans="1:5" x14ac:dyDescent="0.3">
      <c r="A17" s="2" t="s">
        <v>38</v>
      </c>
      <c r="B17" s="2">
        <v>16</v>
      </c>
      <c r="C17" s="2">
        <v>0</v>
      </c>
      <c r="D17" s="2">
        <v>480</v>
      </c>
      <c r="E17" s="2">
        <v>2</v>
      </c>
    </row>
    <row r="18" spans="1:5" x14ac:dyDescent="0.3">
      <c r="A18" s="2" t="s">
        <v>39</v>
      </c>
      <c r="B18" s="2">
        <v>12.1</v>
      </c>
      <c r="C18" s="2">
        <v>0</v>
      </c>
      <c r="D18" s="2">
        <v>480</v>
      </c>
      <c r="E18" s="2">
        <v>2</v>
      </c>
    </row>
    <row r="19" spans="1:5" x14ac:dyDescent="0.3">
      <c r="A19" s="2" t="s">
        <v>40</v>
      </c>
      <c r="B19" s="2">
        <v>16</v>
      </c>
      <c r="C19" s="2">
        <v>0</v>
      </c>
      <c r="D19" s="2">
        <v>480</v>
      </c>
      <c r="E19" s="2">
        <v>2</v>
      </c>
    </row>
    <row r="20" spans="1:5" x14ac:dyDescent="0.3">
      <c r="A20" s="2" t="s">
        <v>17</v>
      </c>
      <c r="B20" s="2">
        <v>4</v>
      </c>
      <c r="C20" s="2">
        <v>1020</v>
      </c>
      <c r="D20" s="2">
        <v>1380</v>
      </c>
      <c r="E20" s="2">
        <v>1</v>
      </c>
    </row>
    <row r="21" spans="1:5" x14ac:dyDescent="0.3">
      <c r="A21" s="2" t="s">
        <v>18</v>
      </c>
      <c r="B21" s="2">
        <v>2</v>
      </c>
      <c r="C21" s="2">
        <v>1020</v>
      </c>
      <c r="D21" s="2">
        <v>1380</v>
      </c>
      <c r="E21" s="2">
        <v>1</v>
      </c>
    </row>
    <row r="22" spans="1:5" x14ac:dyDescent="0.3">
      <c r="A22" s="2" t="s">
        <v>19</v>
      </c>
      <c r="B22" s="2">
        <v>8</v>
      </c>
      <c r="C22" s="2">
        <v>1020</v>
      </c>
      <c r="D22" s="2">
        <v>1380</v>
      </c>
      <c r="E22" s="2">
        <v>1</v>
      </c>
    </row>
    <row r="23" spans="1:5" x14ac:dyDescent="0.3">
      <c r="A23" s="2" t="s">
        <v>20</v>
      </c>
      <c r="B23" s="2">
        <v>6</v>
      </c>
      <c r="C23" s="2">
        <v>1020</v>
      </c>
      <c r="D23" s="2">
        <v>1380</v>
      </c>
      <c r="E23" s="2">
        <v>1</v>
      </c>
    </row>
    <row r="24" spans="1:5" x14ac:dyDescent="0.3">
      <c r="A24" s="2" t="s">
        <v>41</v>
      </c>
      <c r="B24" s="2">
        <v>8</v>
      </c>
      <c r="C24" s="2">
        <v>1020</v>
      </c>
      <c r="D24" s="2">
        <v>1380</v>
      </c>
      <c r="E24" s="2">
        <v>1</v>
      </c>
    </row>
    <row r="25" spans="1:5" x14ac:dyDescent="0.3">
      <c r="A25" s="2" t="s">
        <v>21</v>
      </c>
      <c r="B25" s="2">
        <v>0.5</v>
      </c>
      <c r="C25" s="2">
        <v>0</v>
      </c>
      <c r="D25" s="2">
        <v>1440</v>
      </c>
      <c r="E25" s="2">
        <v>1</v>
      </c>
    </row>
    <row r="26" spans="1:5" x14ac:dyDescent="0.3">
      <c r="A26" s="2" t="s">
        <v>22</v>
      </c>
      <c r="B26" s="2">
        <v>0.4</v>
      </c>
      <c r="C26" s="2">
        <v>0</v>
      </c>
      <c r="D26" s="2">
        <v>1440</v>
      </c>
      <c r="E26" s="2">
        <v>1</v>
      </c>
    </row>
    <row r="27" spans="1:5" x14ac:dyDescent="0.3">
      <c r="A27" s="2" t="s">
        <v>23</v>
      </c>
      <c r="B27" s="2">
        <v>0.8</v>
      </c>
      <c r="C27" s="2">
        <v>0</v>
      </c>
      <c r="D27" s="2">
        <v>1440</v>
      </c>
      <c r="E27" s="2">
        <v>1</v>
      </c>
    </row>
    <row r="28" spans="1:5" x14ac:dyDescent="0.3">
      <c r="A28" s="2" t="s">
        <v>24</v>
      </c>
      <c r="B28" s="2">
        <v>0.6</v>
      </c>
      <c r="C28" s="2">
        <v>0</v>
      </c>
      <c r="D28" s="2">
        <v>1440</v>
      </c>
      <c r="E28" s="2">
        <v>1</v>
      </c>
    </row>
    <row r="29" spans="1:5" x14ac:dyDescent="0.3">
      <c r="A29" s="2" t="s">
        <v>42</v>
      </c>
      <c r="B29" s="2">
        <v>0.8</v>
      </c>
      <c r="C29" s="2">
        <v>0</v>
      </c>
      <c r="D29" s="2">
        <v>1440</v>
      </c>
      <c r="E29" s="2">
        <v>1</v>
      </c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11" x14ac:dyDescent="0.3">
      <c r="A33" s="1" t="s">
        <v>25</v>
      </c>
      <c r="B33" s="1" t="s">
        <v>26</v>
      </c>
      <c r="C33" s="1" t="s">
        <v>27</v>
      </c>
      <c r="D33" s="1" t="s">
        <v>28</v>
      </c>
      <c r="E33" s="1" t="s">
        <v>29</v>
      </c>
      <c r="F33" s="1" t="s">
        <v>48</v>
      </c>
      <c r="G33" s="1" t="s">
        <v>49</v>
      </c>
      <c r="H33" s="1" t="s">
        <v>50</v>
      </c>
      <c r="I33" s="1" t="s">
        <v>30</v>
      </c>
      <c r="J33" s="1" t="s">
        <v>31</v>
      </c>
    </row>
    <row r="34" spans="1:11" x14ac:dyDescent="0.3">
      <c r="A34" s="2" t="s">
        <v>32</v>
      </c>
      <c r="B34" s="2">
        <v>300</v>
      </c>
      <c r="C34" s="2">
        <v>0.18</v>
      </c>
      <c r="D34" s="2"/>
      <c r="E34" s="2"/>
      <c r="F34" s="2"/>
      <c r="G34" s="2"/>
      <c r="H34" s="2"/>
      <c r="I34" s="2"/>
      <c r="J34" s="2"/>
    </row>
    <row r="35" spans="1:11" x14ac:dyDescent="0.3">
      <c r="A35" s="2" t="s">
        <v>33</v>
      </c>
      <c r="B35" s="2">
        <v>21</v>
      </c>
      <c r="C35" s="2">
        <v>1.75</v>
      </c>
      <c r="D35" s="2">
        <v>24</v>
      </c>
      <c r="E35" s="2">
        <v>120</v>
      </c>
      <c r="F35" s="2">
        <v>6.5</v>
      </c>
      <c r="G35" s="2">
        <v>5.5</v>
      </c>
      <c r="H35" s="2">
        <v>3.5</v>
      </c>
      <c r="I35" s="2"/>
      <c r="J35" s="2"/>
      <c r="K35" t="s">
        <v>47</v>
      </c>
    </row>
    <row r="36" spans="1:11" x14ac:dyDescent="0.3">
      <c r="A36" s="2" t="s">
        <v>34</v>
      </c>
      <c r="B36" s="2">
        <v>52</v>
      </c>
      <c r="C36" s="2">
        <v>0.65</v>
      </c>
      <c r="D36" s="2">
        <v>4</v>
      </c>
      <c r="E36" s="2"/>
      <c r="F36" s="2"/>
      <c r="G36" s="2"/>
      <c r="H36" s="2"/>
      <c r="I36" s="2">
        <f>60*275</f>
        <v>16500</v>
      </c>
      <c r="J36" s="2" t="s">
        <v>35</v>
      </c>
      <c r="K36" t="s">
        <v>46</v>
      </c>
    </row>
    <row r="37" spans="1:11" x14ac:dyDescent="0.3">
      <c r="A37" s="2" t="s">
        <v>36</v>
      </c>
      <c r="B37" s="2"/>
      <c r="C37" s="2">
        <v>0.87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AD6F-0386-46EF-B080-15F945F07239}">
  <dimension ref="A1:K37"/>
  <sheetViews>
    <sheetView topLeftCell="A22" workbookViewId="0">
      <selection activeCell="I36" sqref="I36"/>
    </sheetView>
  </sheetViews>
  <sheetFormatPr defaultRowHeight="14.4" x14ac:dyDescent="0.3"/>
  <cols>
    <col min="1" max="1" width="26.33203125" bestFit="1" customWidth="1"/>
    <col min="2" max="2" width="14.109375" bestFit="1" customWidth="1"/>
    <col min="3" max="3" width="15.109375" bestFit="1" customWidth="1"/>
    <col min="4" max="4" width="14.88671875" bestFit="1" customWidth="1"/>
    <col min="5" max="5" width="10.33203125" bestFit="1" customWidth="1"/>
    <col min="6" max="6" width="22.44140625" bestFit="1" customWidth="1"/>
    <col min="7" max="8" width="21.44140625" bestFit="1" customWidth="1"/>
    <col min="9" max="9" width="21.5546875" bestFit="1" customWidth="1"/>
  </cols>
  <sheetData>
    <row r="1" spans="1:10" x14ac:dyDescent="0.3">
      <c r="A1" s="1" t="s">
        <v>44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/>
      <c r="I2" s="1"/>
      <c r="J2" s="1"/>
    </row>
    <row r="3" spans="1:10" x14ac:dyDescent="0.3">
      <c r="A3" s="2" t="s">
        <v>5</v>
      </c>
      <c r="B3" s="2">
        <v>12.5</v>
      </c>
      <c r="C3" s="2">
        <v>300</v>
      </c>
      <c r="D3" s="2">
        <v>420</v>
      </c>
      <c r="E3" s="2">
        <v>1</v>
      </c>
      <c r="I3" s="2"/>
      <c r="J3" s="2"/>
    </row>
    <row r="4" spans="1:10" x14ac:dyDescent="0.3">
      <c r="A4" s="2" t="s">
        <v>6</v>
      </c>
      <c r="B4" s="2">
        <v>12.5</v>
      </c>
      <c r="C4" s="2">
        <v>960</v>
      </c>
      <c r="D4" s="2">
        <v>1080</v>
      </c>
      <c r="E4" s="2">
        <v>1</v>
      </c>
      <c r="I4" s="2"/>
      <c r="J4" s="2"/>
    </row>
    <row r="5" spans="1:10" x14ac:dyDescent="0.3">
      <c r="A5" s="2" t="s">
        <v>7</v>
      </c>
      <c r="B5" s="2">
        <v>3.5</v>
      </c>
      <c r="C5" s="2">
        <v>421</v>
      </c>
      <c r="D5" s="2">
        <v>599</v>
      </c>
      <c r="E5" s="2">
        <v>1</v>
      </c>
      <c r="I5" s="2"/>
      <c r="J5" s="2"/>
    </row>
    <row r="6" spans="1:10" x14ac:dyDescent="0.3">
      <c r="A6" s="2" t="s">
        <v>8</v>
      </c>
      <c r="B6" s="2">
        <v>1.75</v>
      </c>
      <c r="C6" s="2">
        <v>600</v>
      </c>
      <c r="D6" s="2">
        <v>959</v>
      </c>
      <c r="E6" s="2">
        <v>1</v>
      </c>
      <c r="I6" s="2"/>
      <c r="J6" s="2"/>
    </row>
    <row r="7" spans="1:10" x14ac:dyDescent="0.3">
      <c r="A7" s="2" t="s">
        <v>9</v>
      </c>
      <c r="B7" s="2">
        <v>3.5</v>
      </c>
      <c r="C7" s="2">
        <v>1081</v>
      </c>
      <c r="D7" s="2">
        <v>1260</v>
      </c>
      <c r="E7" s="2">
        <v>1</v>
      </c>
      <c r="I7" s="2"/>
      <c r="J7" s="2"/>
    </row>
    <row r="8" spans="1:10" x14ac:dyDescent="0.3">
      <c r="A8" s="2" t="s">
        <v>10</v>
      </c>
      <c r="B8" s="2">
        <v>1.75</v>
      </c>
      <c r="C8" s="2">
        <v>1261</v>
      </c>
      <c r="D8" s="2">
        <v>1440</v>
      </c>
      <c r="E8" s="2">
        <v>1</v>
      </c>
      <c r="I8" s="2"/>
      <c r="J8" s="2"/>
    </row>
    <row r="9" spans="1:10" x14ac:dyDescent="0.3">
      <c r="A9" s="2" t="s">
        <v>8</v>
      </c>
      <c r="B9" s="2">
        <v>1.75</v>
      </c>
      <c r="C9" s="2">
        <v>0</v>
      </c>
      <c r="D9" s="2">
        <v>299</v>
      </c>
      <c r="E9" s="2">
        <v>1</v>
      </c>
    </row>
    <row r="10" spans="1:10" x14ac:dyDescent="0.3">
      <c r="A10" s="2" t="s">
        <v>11</v>
      </c>
      <c r="B10" s="2">
        <v>3.75</v>
      </c>
      <c r="C10" s="2">
        <v>300</v>
      </c>
      <c r="D10" s="2">
        <v>420</v>
      </c>
      <c r="E10" s="2">
        <v>1</v>
      </c>
    </row>
    <row r="11" spans="1:10" x14ac:dyDescent="0.3">
      <c r="A11" s="2" t="s">
        <v>12</v>
      </c>
      <c r="B11" s="2">
        <v>3.75</v>
      </c>
      <c r="C11" s="2">
        <v>960</v>
      </c>
      <c r="D11" s="2">
        <v>1080</v>
      </c>
      <c r="E11" s="2">
        <v>1</v>
      </c>
    </row>
    <row r="12" spans="1:10" x14ac:dyDescent="0.3">
      <c r="A12" s="2" t="s">
        <v>13</v>
      </c>
      <c r="B12" s="2">
        <v>1.05</v>
      </c>
      <c r="C12" s="2">
        <v>421</v>
      </c>
      <c r="D12" s="2">
        <v>599</v>
      </c>
      <c r="E12" s="2">
        <v>1</v>
      </c>
    </row>
    <row r="13" spans="1:10" x14ac:dyDescent="0.3">
      <c r="A13" s="2" t="s">
        <v>14</v>
      </c>
      <c r="B13" s="2">
        <v>0.52500000000000002</v>
      </c>
      <c r="C13" s="2">
        <v>600</v>
      </c>
      <c r="D13" s="2">
        <v>959</v>
      </c>
      <c r="E13" s="2">
        <v>1</v>
      </c>
    </row>
    <row r="14" spans="1:10" x14ac:dyDescent="0.3">
      <c r="A14" s="2" t="s">
        <v>15</v>
      </c>
      <c r="B14" s="2">
        <v>1.05</v>
      </c>
      <c r="C14" s="2">
        <v>1081</v>
      </c>
      <c r="D14" s="2">
        <v>1260</v>
      </c>
      <c r="E14" s="2">
        <v>1</v>
      </c>
    </row>
    <row r="15" spans="1:10" x14ac:dyDescent="0.3">
      <c r="A15" s="2" t="s">
        <v>16</v>
      </c>
      <c r="B15" s="2">
        <v>0.52500000000000002</v>
      </c>
      <c r="C15" s="2">
        <v>1261</v>
      </c>
      <c r="D15" s="2">
        <v>1440</v>
      </c>
      <c r="E15" s="2">
        <v>1</v>
      </c>
    </row>
    <row r="16" spans="1:10" x14ac:dyDescent="0.3">
      <c r="A16" s="2" t="s">
        <v>14</v>
      </c>
      <c r="B16" s="2">
        <v>0.52500000000000002</v>
      </c>
      <c r="C16" s="2">
        <v>0</v>
      </c>
      <c r="D16" s="2">
        <v>299</v>
      </c>
      <c r="E16" s="2">
        <v>1</v>
      </c>
    </row>
    <row r="17" spans="1:5" x14ac:dyDescent="0.3">
      <c r="A17" s="2" t="s">
        <v>38</v>
      </c>
      <c r="B17" s="2">
        <v>0</v>
      </c>
      <c r="C17" s="2">
        <v>0</v>
      </c>
      <c r="D17" s="2">
        <v>480</v>
      </c>
      <c r="E17" s="2">
        <v>2</v>
      </c>
    </row>
    <row r="18" spans="1:5" x14ac:dyDescent="0.3">
      <c r="A18" s="2" t="s">
        <v>39</v>
      </c>
      <c r="B18" s="2">
        <v>0</v>
      </c>
      <c r="C18" s="2">
        <v>0</v>
      </c>
      <c r="D18" s="2">
        <v>480</v>
      </c>
      <c r="E18" s="2">
        <v>2</v>
      </c>
    </row>
    <row r="19" spans="1:5" x14ac:dyDescent="0.3">
      <c r="A19" s="2" t="s">
        <v>40</v>
      </c>
      <c r="B19" s="2">
        <v>0</v>
      </c>
      <c r="C19" s="2">
        <v>0</v>
      </c>
      <c r="D19" s="2">
        <v>480</v>
      </c>
      <c r="E19" s="2">
        <v>2</v>
      </c>
    </row>
    <row r="20" spans="1:5" x14ac:dyDescent="0.3">
      <c r="A20" s="2" t="s">
        <v>17</v>
      </c>
      <c r="B20" s="2">
        <v>4</v>
      </c>
      <c r="C20" s="2">
        <v>1020</v>
      </c>
      <c r="D20" s="2">
        <v>1380</v>
      </c>
      <c r="E20" s="2">
        <v>1</v>
      </c>
    </row>
    <row r="21" spans="1:5" x14ac:dyDescent="0.3">
      <c r="A21" s="2" t="s">
        <v>18</v>
      </c>
      <c r="B21" s="2">
        <v>2</v>
      </c>
      <c r="C21" s="2">
        <v>1020</v>
      </c>
      <c r="D21" s="2">
        <v>1380</v>
      </c>
      <c r="E21" s="2">
        <v>1</v>
      </c>
    </row>
    <row r="22" spans="1:5" x14ac:dyDescent="0.3">
      <c r="A22" s="2" t="s">
        <v>19</v>
      </c>
      <c r="B22" s="2">
        <v>8</v>
      </c>
      <c r="C22" s="2">
        <v>1020</v>
      </c>
      <c r="D22" s="2">
        <v>1380</v>
      </c>
      <c r="E22" s="2">
        <v>1</v>
      </c>
    </row>
    <row r="23" spans="1:5" x14ac:dyDescent="0.3">
      <c r="A23" s="2" t="s">
        <v>20</v>
      </c>
      <c r="B23" s="2">
        <v>6</v>
      </c>
      <c r="C23" s="2">
        <v>1020</v>
      </c>
      <c r="D23" s="2">
        <v>1380</v>
      </c>
      <c r="E23" s="2">
        <v>1</v>
      </c>
    </row>
    <row r="24" spans="1:5" x14ac:dyDescent="0.3">
      <c r="A24" s="2" t="s">
        <v>41</v>
      </c>
      <c r="B24" s="2">
        <v>8</v>
      </c>
      <c r="C24" s="2">
        <v>1020</v>
      </c>
      <c r="D24" s="2">
        <v>1380</v>
      </c>
      <c r="E24" s="2">
        <v>1</v>
      </c>
    </row>
    <row r="25" spans="1:5" x14ac:dyDescent="0.3">
      <c r="A25" s="2" t="s">
        <v>21</v>
      </c>
      <c r="B25" s="2">
        <v>0.5</v>
      </c>
      <c r="C25" s="2">
        <v>0</v>
      </c>
      <c r="D25" s="2">
        <v>1440</v>
      </c>
      <c r="E25" s="2">
        <v>1</v>
      </c>
    </row>
    <row r="26" spans="1:5" x14ac:dyDescent="0.3">
      <c r="A26" s="2" t="s">
        <v>22</v>
      </c>
      <c r="B26" s="2">
        <v>0.4</v>
      </c>
      <c r="C26" s="2">
        <v>0</v>
      </c>
      <c r="D26" s="2">
        <v>1440</v>
      </c>
      <c r="E26" s="2">
        <v>1</v>
      </c>
    </row>
    <row r="27" spans="1:5" x14ac:dyDescent="0.3">
      <c r="A27" s="2" t="s">
        <v>23</v>
      </c>
      <c r="B27" s="2">
        <v>0.8</v>
      </c>
      <c r="C27" s="2">
        <v>0</v>
      </c>
      <c r="D27" s="2">
        <v>1440</v>
      </c>
      <c r="E27" s="2">
        <v>1</v>
      </c>
    </row>
    <row r="28" spans="1:5" x14ac:dyDescent="0.3">
      <c r="A28" s="2" t="s">
        <v>24</v>
      </c>
      <c r="B28" s="2">
        <v>0.6</v>
      </c>
      <c r="C28" s="2">
        <v>0</v>
      </c>
      <c r="D28" s="2">
        <v>1440</v>
      </c>
      <c r="E28" s="2">
        <v>1</v>
      </c>
    </row>
    <row r="29" spans="1:5" x14ac:dyDescent="0.3">
      <c r="A29" s="2" t="s">
        <v>42</v>
      </c>
      <c r="B29" s="2">
        <v>0.8</v>
      </c>
      <c r="C29" s="2">
        <v>0</v>
      </c>
      <c r="D29" s="2">
        <v>1440</v>
      </c>
      <c r="E29" s="2">
        <v>1</v>
      </c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11" x14ac:dyDescent="0.3">
      <c r="A33" s="1" t="s">
        <v>25</v>
      </c>
      <c r="B33" s="1" t="s">
        <v>26</v>
      </c>
      <c r="C33" s="1" t="s">
        <v>27</v>
      </c>
      <c r="D33" s="1" t="s">
        <v>28</v>
      </c>
      <c r="E33" s="1" t="s">
        <v>29</v>
      </c>
      <c r="F33" s="1" t="s">
        <v>48</v>
      </c>
      <c r="G33" s="1" t="s">
        <v>49</v>
      </c>
      <c r="H33" s="1" t="s">
        <v>50</v>
      </c>
      <c r="I33" s="1" t="s">
        <v>30</v>
      </c>
      <c r="J33" s="1" t="s">
        <v>31</v>
      </c>
    </row>
    <row r="34" spans="1:11" x14ac:dyDescent="0.3">
      <c r="A34" s="2" t="s">
        <v>32</v>
      </c>
      <c r="B34" s="2">
        <v>300</v>
      </c>
      <c r="C34" s="2">
        <v>0.18</v>
      </c>
      <c r="D34" s="2"/>
      <c r="E34" s="2"/>
      <c r="F34" s="2"/>
      <c r="G34" s="2"/>
      <c r="H34" s="2"/>
      <c r="I34" s="2"/>
      <c r="J34" s="2"/>
    </row>
    <row r="35" spans="1:11" x14ac:dyDescent="0.3">
      <c r="A35" s="2" t="s">
        <v>33</v>
      </c>
      <c r="B35" s="2">
        <v>21</v>
      </c>
      <c r="C35" s="2">
        <v>1.75</v>
      </c>
      <c r="D35" s="2">
        <v>24</v>
      </c>
      <c r="E35" s="2">
        <v>120</v>
      </c>
      <c r="F35" s="2">
        <v>6.5</v>
      </c>
      <c r="G35" s="2">
        <v>5.5</v>
      </c>
      <c r="H35" s="2">
        <v>3.5</v>
      </c>
      <c r="I35" s="2"/>
      <c r="J35" s="2"/>
      <c r="K35" t="s">
        <v>47</v>
      </c>
    </row>
    <row r="36" spans="1:11" x14ac:dyDescent="0.3">
      <c r="A36" s="2" t="s">
        <v>34</v>
      </c>
      <c r="B36" s="2">
        <v>52</v>
      </c>
      <c r="C36" s="2">
        <v>0.65</v>
      </c>
      <c r="D36" s="2">
        <v>4</v>
      </c>
      <c r="E36" s="2"/>
      <c r="F36" s="2"/>
      <c r="G36" s="2"/>
      <c r="H36" s="2"/>
      <c r="I36" s="2">
        <f>60*275</f>
        <v>16500</v>
      </c>
      <c r="J36" s="2" t="s">
        <v>35</v>
      </c>
      <c r="K36" t="s">
        <v>46</v>
      </c>
    </row>
    <row r="37" spans="1:11" x14ac:dyDescent="0.3">
      <c r="A37" s="2" t="s">
        <v>36</v>
      </c>
      <c r="B37" s="2"/>
      <c r="C37" s="2">
        <v>0.87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E763-A60E-4A51-AA4D-67DFA21F409A}">
  <dimension ref="A1:K37"/>
  <sheetViews>
    <sheetView tabSelected="1" topLeftCell="B13" workbookViewId="0">
      <selection activeCell="J16" sqref="J16"/>
    </sheetView>
  </sheetViews>
  <sheetFormatPr defaultRowHeight="14.4" x14ac:dyDescent="0.3"/>
  <cols>
    <col min="1" max="1" width="26.33203125" bestFit="1" customWidth="1"/>
    <col min="2" max="2" width="14.109375" bestFit="1" customWidth="1"/>
    <col min="3" max="3" width="15.109375" bestFit="1" customWidth="1"/>
    <col min="4" max="4" width="14.88671875" bestFit="1" customWidth="1"/>
    <col min="5" max="5" width="10.33203125" bestFit="1" customWidth="1"/>
    <col min="6" max="6" width="22.44140625" bestFit="1" customWidth="1"/>
    <col min="7" max="8" width="21.44140625" bestFit="1" customWidth="1"/>
    <col min="9" max="9" width="21.5546875" bestFit="1" customWidth="1"/>
    <col min="11" max="11" width="13.6640625" bestFit="1" customWidth="1"/>
  </cols>
  <sheetData>
    <row r="1" spans="1:10" x14ac:dyDescent="0.3">
      <c r="A1" s="1" t="s">
        <v>45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/>
      <c r="I2" s="1"/>
      <c r="J2" s="1"/>
    </row>
    <row r="3" spans="1:10" x14ac:dyDescent="0.3">
      <c r="A3" s="2" t="s">
        <v>5</v>
      </c>
      <c r="B3" s="2">
        <v>12.5</v>
      </c>
      <c r="C3" s="2">
        <v>300</v>
      </c>
      <c r="D3" s="2">
        <v>420</v>
      </c>
      <c r="E3" s="2">
        <v>1</v>
      </c>
      <c r="I3" s="2"/>
      <c r="J3" s="2"/>
    </row>
    <row r="4" spans="1:10" x14ac:dyDescent="0.3">
      <c r="A4" s="2" t="s">
        <v>6</v>
      </c>
      <c r="B4" s="2">
        <v>12.5</v>
      </c>
      <c r="C4" s="2">
        <v>960</v>
      </c>
      <c r="D4" s="2">
        <v>1080</v>
      </c>
      <c r="E4" s="2">
        <v>1</v>
      </c>
      <c r="I4" s="2"/>
      <c r="J4" s="2"/>
    </row>
    <row r="5" spans="1:10" x14ac:dyDescent="0.3">
      <c r="A5" s="2" t="s">
        <v>7</v>
      </c>
      <c r="B5" s="2">
        <v>4.25</v>
      </c>
      <c r="C5" s="2">
        <v>421</v>
      </c>
      <c r="D5" s="2">
        <v>599</v>
      </c>
      <c r="E5" s="2">
        <v>1</v>
      </c>
      <c r="I5" s="2"/>
      <c r="J5" s="2"/>
    </row>
    <row r="6" spans="1:10" x14ac:dyDescent="0.3">
      <c r="A6" s="2" t="s">
        <v>8</v>
      </c>
      <c r="B6" s="2">
        <v>1.825</v>
      </c>
      <c r="C6" s="2">
        <v>600</v>
      </c>
      <c r="D6" s="2">
        <v>959</v>
      </c>
      <c r="E6" s="2">
        <v>1</v>
      </c>
      <c r="I6" s="2"/>
      <c r="J6" s="2"/>
    </row>
    <row r="7" spans="1:10" x14ac:dyDescent="0.3">
      <c r="A7" s="2" t="s">
        <v>9</v>
      </c>
      <c r="B7" s="2">
        <v>4.25</v>
      </c>
      <c r="C7" s="2">
        <v>1081</v>
      </c>
      <c r="D7" s="2">
        <v>1260</v>
      </c>
      <c r="E7" s="2">
        <v>1</v>
      </c>
      <c r="I7" s="2"/>
      <c r="J7" s="2"/>
    </row>
    <row r="8" spans="1:10" x14ac:dyDescent="0.3">
      <c r="A8" s="2" t="s">
        <v>10</v>
      </c>
      <c r="B8" s="2">
        <v>1.825</v>
      </c>
      <c r="C8" s="2">
        <v>1261</v>
      </c>
      <c r="D8" s="2">
        <v>1440</v>
      </c>
      <c r="E8" s="2">
        <v>1</v>
      </c>
      <c r="I8" s="2"/>
      <c r="J8" s="2"/>
    </row>
    <row r="9" spans="1:10" x14ac:dyDescent="0.3">
      <c r="A9" s="2" t="s">
        <v>8</v>
      </c>
      <c r="B9" s="2">
        <v>1.825</v>
      </c>
      <c r="C9" s="2">
        <v>0</v>
      </c>
      <c r="D9" s="2">
        <v>299</v>
      </c>
      <c r="E9" s="2">
        <v>1</v>
      </c>
    </row>
    <row r="10" spans="1:10" x14ac:dyDescent="0.3">
      <c r="A10" s="2" t="s">
        <v>11</v>
      </c>
      <c r="B10" s="2">
        <v>3.75</v>
      </c>
      <c r="C10" s="2">
        <v>300</v>
      </c>
      <c r="D10" s="2">
        <v>420</v>
      </c>
      <c r="E10" s="2">
        <v>1</v>
      </c>
    </row>
    <row r="11" spans="1:10" x14ac:dyDescent="0.3">
      <c r="A11" s="2" t="s">
        <v>12</v>
      </c>
      <c r="B11" s="2">
        <v>3.75</v>
      </c>
      <c r="C11" s="2">
        <v>960</v>
      </c>
      <c r="D11" s="2">
        <v>1080</v>
      </c>
      <c r="E11" s="2">
        <v>1</v>
      </c>
    </row>
    <row r="12" spans="1:10" x14ac:dyDescent="0.3">
      <c r="A12" s="2" t="s">
        <v>13</v>
      </c>
      <c r="B12" s="2">
        <v>1.2</v>
      </c>
      <c r="C12" s="2">
        <v>421</v>
      </c>
      <c r="D12" s="2">
        <v>599</v>
      </c>
      <c r="E12" s="2">
        <v>1</v>
      </c>
    </row>
    <row r="13" spans="1:10" x14ac:dyDescent="0.3">
      <c r="A13" s="2" t="s">
        <v>14</v>
      </c>
      <c r="B13" s="2">
        <v>0.6</v>
      </c>
      <c r="C13" s="2">
        <v>600</v>
      </c>
      <c r="D13" s="2">
        <v>959</v>
      </c>
      <c r="E13" s="2">
        <v>1</v>
      </c>
    </row>
    <row r="14" spans="1:10" x14ac:dyDescent="0.3">
      <c r="A14" s="2" t="s">
        <v>15</v>
      </c>
      <c r="B14" s="2">
        <v>1.2</v>
      </c>
      <c r="C14" s="2">
        <v>1081</v>
      </c>
      <c r="D14" s="2">
        <v>1260</v>
      </c>
      <c r="E14" s="2">
        <v>1</v>
      </c>
    </row>
    <row r="15" spans="1:10" x14ac:dyDescent="0.3">
      <c r="A15" s="2" t="s">
        <v>16</v>
      </c>
      <c r="B15" s="2">
        <v>0.6</v>
      </c>
      <c r="C15" s="2">
        <v>1261</v>
      </c>
      <c r="D15" s="2">
        <v>1440</v>
      </c>
      <c r="E15" s="2">
        <v>1</v>
      </c>
    </row>
    <row r="16" spans="1:10" x14ac:dyDescent="0.3">
      <c r="A16" s="2" t="s">
        <v>14</v>
      </c>
      <c r="B16" s="2">
        <v>0.6</v>
      </c>
      <c r="C16" s="2">
        <v>0</v>
      </c>
      <c r="D16" s="2">
        <v>299</v>
      </c>
      <c r="E16" s="2">
        <v>1</v>
      </c>
    </row>
    <row r="17" spans="1:5" x14ac:dyDescent="0.3">
      <c r="A17" s="2" t="s">
        <v>38</v>
      </c>
      <c r="B17" s="2">
        <v>72</v>
      </c>
      <c r="C17" s="2">
        <v>0</v>
      </c>
      <c r="D17" s="2">
        <v>480</v>
      </c>
      <c r="E17" s="2">
        <v>2</v>
      </c>
    </row>
    <row r="18" spans="1:5" x14ac:dyDescent="0.3">
      <c r="A18" s="2" t="s">
        <v>39</v>
      </c>
      <c r="B18" s="2">
        <v>54.5</v>
      </c>
      <c r="C18" s="2">
        <v>0</v>
      </c>
      <c r="D18" s="2">
        <v>480</v>
      </c>
      <c r="E18" s="2">
        <v>2</v>
      </c>
    </row>
    <row r="19" spans="1:5" x14ac:dyDescent="0.3">
      <c r="A19" s="2" t="s">
        <v>40</v>
      </c>
      <c r="B19" s="2">
        <v>72</v>
      </c>
      <c r="C19" s="2">
        <v>0</v>
      </c>
      <c r="D19" s="2">
        <v>480</v>
      </c>
      <c r="E19" s="2">
        <v>2</v>
      </c>
    </row>
    <row r="20" spans="1:5" x14ac:dyDescent="0.3">
      <c r="A20" s="2" t="s">
        <v>17</v>
      </c>
      <c r="B20" s="2">
        <v>4</v>
      </c>
      <c r="C20" s="2">
        <v>1020</v>
      </c>
      <c r="D20" s="2">
        <v>1380</v>
      </c>
      <c r="E20" s="2">
        <v>1</v>
      </c>
    </row>
    <row r="21" spans="1:5" x14ac:dyDescent="0.3">
      <c r="A21" s="2" t="s">
        <v>18</v>
      </c>
      <c r="B21" s="2">
        <v>2</v>
      </c>
      <c r="C21" s="2">
        <v>1020</v>
      </c>
      <c r="D21" s="2">
        <v>1380</v>
      </c>
      <c r="E21" s="2">
        <v>1</v>
      </c>
    </row>
    <row r="22" spans="1:5" x14ac:dyDescent="0.3">
      <c r="A22" s="2" t="s">
        <v>19</v>
      </c>
      <c r="B22" s="2">
        <v>8</v>
      </c>
      <c r="C22" s="2">
        <v>1020</v>
      </c>
      <c r="D22" s="2">
        <v>1380</v>
      </c>
      <c r="E22" s="2">
        <v>1</v>
      </c>
    </row>
    <row r="23" spans="1:5" x14ac:dyDescent="0.3">
      <c r="A23" s="2" t="s">
        <v>20</v>
      </c>
      <c r="B23" s="2">
        <v>6</v>
      </c>
      <c r="C23" s="2">
        <v>1020</v>
      </c>
      <c r="D23" s="2">
        <v>1380</v>
      </c>
      <c r="E23" s="2">
        <v>1</v>
      </c>
    </row>
    <row r="24" spans="1:5" x14ac:dyDescent="0.3">
      <c r="A24" s="2" t="s">
        <v>41</v>
      </c>
      <c r="B24" s="2">
        <v>8</v>
      </c>
      <c r="C24" s="2">
        <v>1020</v>
      </c>
      <c r="D24" s="2">
        <v>1380</v>
      </c>
      <c r="E24" s="2">
        <v>1</v>
      </c>
    </row>
    <row r="25" spans="1:5" x14ac:dyDescent="0.3">
      <c r="A25" s="2" t="s">
        <v>21</v>
      </c>
      <c r="B25" s="2">
        <v>0.5</v>
      </c>
      <c r="C25" s="2">
        <v>0</v>
      </c>
      <c r="D25" s="2">
        <v>1440</v>
      </c>
      <c r="E25" s="2">
        <v>1</v>
      </c>
    </row>
    <row r="26" spans="1:5" x14ac:dyDescent="0.3">
      <c r="A26" s="2" t="s">
        <v>22</v>
      </c>
      <c r="B26" s="2">
        <v>0.4</v>
      </c>
      <c r="C26" s="2">
        <v>0</v>
      </c>
      <c r="D26" s="2">
        <v>1440</v>
      </c>
      <c r="E26" s="2">
        <v>1</v>
      </c>
    </row>
    <row r="27" spans="1:5" x14ac:dyDescent="0.3">
      <c r="A27" s="2" t="s">
        <v>23</v>
      </c>
      <c r="B27" s="2">
        <v>0.8</v>
      </c>
      <c r="C27" s="2">
        <v>0</v>
      </c>
      <c r="D27" s="2">
        <v>1440</v>
      </c>
      <c r="E27" s="2">
        <v>1</v>
      </c>
    </row>
    <row r="28" spans="1:5" x14ac:dyDescent="0.3">
      <c r="A28" s="2" t="s">
        <v>24</v>
      </c>
      <c r="B28" s="2">
        <v>0.6</v>
      </c>
      <c r="C28" s="2">
        <v>0</v>
      </c>
      <c r="D28" s="2">
        <v>1440</v>
      </c>
      <c r="E28" s="2">
        <v>1</v>
      </c>
    </row>
    <row r="29" spans="1:5" x14ac:dyDescent="0.3">
      <c r="A29" s="2" t="s">
        <v>42</v>
      </c>
      <c r="B29" s="2">
        <v>0.8</v>
      </c>
      <c r="C29" s="2">
        <v>0</v>
      </c>
      <c r="D29" s="2">
        <v>1440</v>
      </c>
      <c r="E29" s="2">
        <v>1</v>
      </c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11" x14ac:dyDescent="0.3">
      <c r="A33" s="1" t="s">
        <v>25</v>
      </c>
      <c r="B33" s="1" t="s">
        <v>26</v>
      </c>
      <c r="C33" s="1" t="s">
        <v>27</v>
      </c>
      <c r="D33" s="1" t="s">
        <v>28</v>
      </c>
      <c r="E33" s="1" t="s">
        <v>29</v>
      </c>
      <c r="F33" s="1" t="s">
        <v>48</v>
      </c>
      <c r="G33" s="1" t="s">
        <v>49</v>
      </c>
      <c r="H33" s="1" t="s">
        <v>50</v>
      </c>
      <c r="I33" s="1" t="s">
        <v>30</v>
      </c>
      <c r="J33" s="1" t="s">
        <v>31</v>
      </c>
    </row>
    <row r="34" spans="1:11" x14ac:dyDescent="0.3">
      <c r="A34" s="2" t="s">
        <v>32</v>
      </c>
      <c r="B34" s="2">
        <v>300</v>
      </c>
      <c r="C34" s="2">
        <v>0.18</v>
      </c>
      <c r="D34" s="2"/>
      <c r="E34" s="2"/>
      <c r="F34" s="2"/>
      <c r="G34" s="2"/>
      <c r="H34" s="2"/>
      <c r="I34" s="2"/>
      <c r="J34" s="2"/>
    </row>
    <row r="35" spans="1:11" x14ac:dyDescent="0.3">
      <c r="A35" s="2" t="s">
        <v>33</v>
      </c>
      <c r="B35" s="2">
        <v>21</v>
      </c>
      <c r="C35" s="2">
        <v>1.75</v>
      </c>
      <c r="D35" s="2">
        <v>24</v>
      </c>
      <c r="E35" s="2">
        <v>120</v>
      </c>
      <c r="F35" s="2">
        <v>6.5</v>
      </c>
      <c r="G35" s="2">
        <v>5.5</v>
      </c>
      <c r="H35" s="2">
        <v>3.5</v>
      </c>
      <c r="I35" s="2"/>
      <c r="J35" s="2"/>
      <c r="K35" t="s">
        <v>47</v>
      </c>
    </row>
    <row r="36" spans="1:11" x14ac:dyDescent="0.3">
      <c r="A36" s="2" t="s">
        <v>34</v>
      </c>
      <c r="B36" s="2">
        <v>52</v>
      </c>
      <c r="C36" s="2">
        <v>0.65</v>
      </c>
      <c r="D36" s="2">
        <v>4</v>
      </c>
      <c r="E36" s="2"/>
      <c r="F36" s="2"/>
      <c r="G36" s="2"/>
      <c r="H36" s="2"/>
      <c r="I36" s="2">
        <f>60*275</f>
        <v>16500</v>
      </c>
      <c r="J36" s="2" t="s">
        <v>35</v>
      </c>
      <c r="K36" t="s">
        <v>46</v>
      </c>
    </row>
    <row r="37" spans="1:11" x14ac:dyDescent="0.3">
      <c r="A37" s="2" t="s">
        <v>36</v>
      </c>
      <c r="B37" s="2"/>
      <c r="C37" s="2">
        <v>0.87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MR 4 - VERÃO</vt:lpstr>
      <vt:lpstr>MR 4 - OUTONO</vt:lpstr>
      <vt:lpstr>MR 4 - INVERNO</vt:lpstr>
      <vt:lpstr>MR 4 - PRIMAVERA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cláudia ribeiro</dc:creator>
  <cp:lastModifiedBy>lucas losinskas</cp:lastModifiedBy>
  <dcterms:created xsi:type="dcterms:W3CDTF">2026-06-26T17:03:32Z</dcterms:created>
  <dcterms:modified xsi:type="dcterms:W3CDTF">2026-07-02T18:25:12Z</dcterms:modified>
</cp:coreProperties>
</file>